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い方" sheetId="1" state="visible" r:id="rId1"/>
    <sheet name="ダッシュボード" sheetId="2" state="visible" r:id="rId2"/>
    <sheet name="商品" sheetId="3" state="visible" r:id="rId3"/>
    <sheet name="設定" sheetId="4" state="visible" r:id="rId4"/>
    <sheet name="売上" sheetId="5" state="visible" r:id="rId5"/>
    <sheet name="レジ締め" sheetId="6" state="visible" r:id="rId6"/>
  </sheets>
  <definedNames/>
  <calcPr calcId="124519" fullCalcOnLoad="1"/>
</workbook>
</file>

<file path=xl/styles.xml><?xml version="1.0" encoding="utf-8"?>
<styleSheet xmlns="http://schemas.openxmlformats.org/spreadsheetml/2006/main">
  <numFmts count="3">
    <numFmt numFmtId="164" formatCode="¥#,##0"/>
    <numFmt numFmtId="165" formatCode="#,##0&quot;個&quot;"/>
    <numFmt numFmtId="166" formatCode="#,##0&quot;件&quot;"/>
  </numFmts>
  <fonts count="8">
    <font>
      <name val="Calibri"/>
      <family val="2"/>
      <color theme="1"/>
      <sz val="11"/>
      <scheme val="minor"/>
    </font>
    <font>
      <b val="1"/>
      <color rgb="00FFFFFF"/>
      <sz val="14"/>
    </font>
    <font>
      <color rgb="006B7280"/>
      <sz val="9"/>
    </font>
    <font>
      <b val="1"/>
    </font>
    <font>
      <color rgb="006B7280"/>
      <sz val="10"/>
    </font>
    <font>
      <b val="1"/>
      <color rgb="00FFFFFF"/>
    </font>
    <font>
      <b val="1"/>
      <sz val="16"/>
    </font>
    <font>
      <b val="1"/>
      <color rgb="00B91C1C"/>
    </font>
  </fonts>
  <fills count="7">
    <fill>
      <patternFill/>
    </fill>
    <fill>
      <patternFill patternType="gray125"/>
    </fill>
    <fill>
      <patternFill patternType="solid">
        <fgColor rgb="001F2937"/>
      </patternFill>
    </fill>
    <fill>
      <patternFill patternType="solid">
        <fgColor rgb="00E5E7EB"/>
      </patternFill>
    </fill>
    <fill>
      <patternFill patternType="solid">
        <fgColor rgb="00374151"/>
      </patternFill>
    </fill>
    <fill>
      <patternFill patternType="solid">
        <fgColor rgb="00F3F4F6"/>
      </patternFill>
    </fill>
    <fill>
      <patternFill patternType="solid">
        <fgColor rgb="00FFF8C4"/>
      </patternFill>
    </fill>
  </fills>
  <borders count="2">
    <border>
      <left/>
      <right/>
      <top/>
      <bottom/>
      <diagonal/>
    </border>
    <border>
      <bottom style="thin">
        <color rgb="00D8DBE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0" borderId="0" applyAlignment="1" pivotButton="0" quotePrefix="0" xfId="0">
      <alignment vertical="top" wrapText="1"/>
    </xf>
    <xf numFmtId="0" fontId="3" fillId="3" borderId="0" pivotButton="0" quotePrefix="0" xfId="0"/>
    <xf numFmtId="0" fontId="0" fillId="3" borderId="0" pivotButton="0" quotePrefix="0" xfId="0"/>
    <xf numFmtId="0" fontId="3" fillId="0" borderId="0" applyAlignment="1" pivotButton="0" quotePrefix="0" xfId="0">
      <alignment horizontal="center"/>
    </xf>
    <xf numFmtId="0" fontId="0" fillId="0" borderId="0" applyAlignment="1" pivotButton="0" quotePrefix="0" xfId="0">
      <alignment vertical="center" wrapText="1"/>
    </xf>
    <xf numFmtId="0" fontId="4" fillId="0" borderId="0" applyAlignment="1" pivotButton="0" quotePrefix="0" xfId="0">
      <alignment vertical="center" wrapText="1" indent="2"/>
    </xf>
    <xf numFmtId="0" fontId="5" fillId="4" borderId="0" applyAlignment="1" pivotButton="0" quotePrefix="0" xfId="0">
      <alignment horizontal="center"/>
    </xf>
    <xf numFmtId="0" fontId="0" fillId="4" borderId="0" pivotButton="0" quotePrefix="0" xfId="0"/>
    <xf numFmtId="164" fontId="6" fillId="0" borderId="0" applyAlignment="1" pivotButton="0" quotePrefix="0" xfId="0">
      <alignment horizontal="center" vertical="center"/>
    </xf>
    <xf numFmtId="165" fontId="6" fillId="0" borderId="0" applyAlignment="1" pivotButton="0" quotePrefix="0" xfId="0">
      <alignment horizontal="center" vertical="center"/>
    </xf>
    <xf numFmtId="166" fontId="6" fillId="0" borderId="0" applyAlignment="1" pivotButton="0" quotePrefix="0" xfId="0">
      <alignment horizontal="center" vertical="center"/>
    </xf>
    <xf numFmtId="0" fontId="3" fillId="5" borderId="0" pivotButton="0" quotePrefix="0" xfId="0"/>
    <xf numFmtId="3" fontId="0" fillId="0" borderId="0" pivotButton="0" quotePrefix="0" xfId="0"/>
    <xf numFmtId="164" fontId="0" fillId="0" borderId="0" pivotButton="0" quotePrefix="0" xfId="0"/>
    <xf numFmtId="0" fontId="4" fillId="0" borderId="0" applyAlignment="1" pivotButton="0" quotePrefix="0" xfId="0">
      <alignment vertical="top" wrapText="1"/>
    </xf>
    <xf numFmtId="0" fontId="5" fillId="4" borderId="1" applyAlignment="1" pivotButton="0" quotePrefix="0" xfId="0">
      <alignment horizontal="center" vertical="center"/>
    </xf>
    <xf numFmtId="0" fontId="0" fillId="6" borderId="0" pivotButton="0" quotePrefix="0" xfId="0"/>
    <xf numFmtId="164" fontId="0" fillId="6" borderId="0" pivotButton="0" quotePrefix="0" xfId="0"/>
    <xf numFmtId="49" fontId="7" fillId="6" borderId="0" pivotButton="0" quotePrefix="0" xfId="0"/>
    <xf numFmtId="0" fontId="7" fillId="0"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6" customHeight="1">
      <c r="A1" s="1" t="inlineStr">
        <is>
          <t>文化祭レジ（ベビーカステラ）｜使い方</t>
        </is>
      </c>
      <c r="B1" s="2" t="n"/>
      <c r="C1" s="2" t="n"/>
      <c r="D1" s="2" t="n"/>
      <c r="E1" s="2" t="n"/>
      <c r="F1" s="2" t="n"/>
      <c r="G1" s="2" t="n"/>
      <c r="H1" s="2" t="n"/>
    </row>
    <row r="2" ht="34" customHeight="1">
      <c r="A2" s="3" t="inlineStr">
        <is>
          <t>このスプレッドシートはレジアプリの土台です。Apps Script を貼り付けてデプロイすると、スマホやタブレットがレジになります。</t>
        </is>
      </c>
    </row>
    <row r="4">
      <c r="A4" s="4" t="inlineStr">
        <is>
          <t>セットアップ（最初に1回だけ）</t>
        </is>
      </c>
      <c r="B4" s="5" t="n"/>
      <c r="C4" s="5" t="n"/>
      <c r="D4" s="5" t="n"/>
      <c r="E4" s="5" t="n"/>
      <c r="F4" s="5" t="n"/>
      <c r="G4" s="5" t="n"/>
      <c r="H4" s="5" t="n"/>
    </row>
    <row r="5">
      <c r="A5" s="6" t="inlineStr">
        <is>
          <t>1</t>
        </is>
      </c>
      <c r="B5" s="7" t="inlineStr">
        <is>
          <t>「設定」シートのパスコードを必ず変更する。初期値 0000 のままにしないこと</t>
        </is>
      </c>
    </row>
    <row r="6">
      <c r="A6" s="6" t="inlineStr">
        <is>
          <t>2</t>
        </is>
      </c>
      <c r="B6" s="7" t="inlineStr">
        <is>
          <t>「商品」シートに味ごとの行を作り、3個セット・7個セット・バラ1個の価格を入れる</t>
        </is>
      </c>
    </row>
    <row r="7">
      <c r="A7" s="6" t="inlineStr">
        <is>
          <t>3</t>
        </is>
      </c>
      <c r="B7" s="7" t="inlineStr">
        <is>
          <t>拡張機能 → Apps Script を開き、5つのファイルを同名で貼り付ける</t>
        </is>
      </c>
    </row>
    <row r="8">
      <c r="B8" s="8" t="inlineStr">
        <is>
          <t>スクリプト: Code.gs / Setup.gs</t>
        </is>
      </c>
    </row>
    <row r="9">
      <c r="B9" s="8" t="inlineStr">
        <is>
          <t>HTML: index.html / style.html / script.html</t>
        </is>
      </c>
    </row>
    <row r="10">
      <c r="B10" s="8" t="inlineStr">
        <is>
          <t>マニフェスト: ⚙プロジェクトの設定 →「appsscript.json をエディタで表示する」にチェックして貼り付け</t>
        </is>
      </c>
    </row>
    <row r="11">
      <c r="A11" s="6" t="inlineStr">
        <is>
          <t>4</t>
        </is>
      </c>
      <c r="B11" s="7" t="inlineStr">
        <is>
          <t>スプレッドシートを開き直し、メニュー「レジ管理 → シートを初期化 / 修復」を実行する</t>
        </is>
      </c>
    </row>
    <row r="12">
      <c r="B12" s="8" t="inlineStr">
        <is>
          <t>ダッシュボードに商品別・担当者別・時間帯別の集計が追加されます</t>
        </is>
      </c>
    </row>
    <row r="13">
      <c r="A13" s="6" t="inlineStr">
        <is>
          <t>5</t>
        </is>
      </c>
      <c r="B13" s="7" t="inlineStr">
        <is>
          <t>メニュー「レジ管理 → 設定をチェック」で価格の妥当性を確認する</t>
        </is>
      </c>
    </row>
    <row r="14">
      <c r="A14" s="6" t="inlineStr">
        <is>
          <t>6</t>
        </is>
      </c>
      <c r="B14" s="7" t="inlineStr">
        <is>
          <t>デプロイ → 新しいデプロイ → 種類「ウェブアプリ」</t>
        </is>
      </c>
    </row>
    <row r="15">
      <c r="B15" s="8" t="inlineStr">
        <is>
          <t>次のユーザーとして実行: 自分／アクセスできるユーザー: 全員</t>
        </is>
      </c>
    </row>
    <row r="16">
      <c r="A16" s="6" t="inlineStr">
        <is>
          <t>7</t>
        </is>
      </c>
      <c r="B16" s="7" t="inlineStr">
        <is>
          <t>発行された URL をレジ端末で開く</t>
        </is>
      </c>
    </row>
    <row r="18">
      <c r="A18" s="4" t="inlineStr">
        <is>
          <t>料金ルール</t>
        </is>
      </c>
      <c r="B18" s="5" t="n"/>
      <c r="C18" s="5" t="n"/>
      <c r="D18" s="5" t="n"/>
      <c r="E18" s="5" t="n"/>
      <c r="F18" s="5" t="n"/>
      <c r="G18" s="5" t="n"/>
      <c r="H18" s="5" t="n"/>
    </row>
    <row r="19">
      <c r="B19" s="7" t="inlineStr">
        <is>
          <t>・3個ちょうど → その味の3個セット価格</t>
        </is>
      </c>
    </row>
    <row r="20">
      <c r="B20" s="7" t="inlineStr">
        <is>
          <t>・7個ちょうど → その味の7個セット価格</t>
        </is>
      </c>
    </row>
    <row r="21">
      <c r="B21" s="7" t="inlineStr">
        <is>
          <t>・それ以外 → 個数 × その味のバラ単価</t>
        </is>
      </c>
    </row>
    <row r="22">
      <c r="B22" s="7" t="inlineStr">
        <is>
          <t>・味もセットも組み合わせられます（プレーン7個 ＋ チョコ3個×2 など）</t>
        </is>
      </c>
    </row>
    <row r="23">
      <c r="B23" s="7" t="inlineStr">
        <is>
          <t>・バラ単価によっては6個が7個セットより高くなります。「設定をチェック」が味ごとに警告します</t>
        </is>
      </c>
    </row>
    <row r="25">
      <c r="A25" s="4" t="inlineStr">
        <is>
          <t>当日の運用</t>
        </is>
      </c>
      <c r="B25" s="5" t="n"/>
      <c r="C25" s="5" t="n"/>
      <c r="D25" s="5" t="n"/>
      <c r="E25" s="5" t="n"/>
      <c r="F25" s="5" t="n"/>
      <c r="G25" s="5" t="n"/>
      <c r="H25" s="5" t="n"/>
    </row>
    <row r="26">
      <c r="B26" s="7" t="inlineStr">
        <is>
          <t>・アプリを開いて担当者名・パスコード・釣銭準備金を入力する</t>
        </is>
      </c>
    </row>
    <row r="27">
      <c r="B27" s="7" t="inlineStr">
        <is>
          <t>・電波が切れてもレジは動きますが、タブは閉じないこと（閉じると圏外では開き直せません）</t>
        </is>
      </c>
    </row>
    <row r="28">
      <c r="B28" s="7" t="inlineStr">
        <is>
          <t>・味や価格を変えるときは「商品」シートを直すだけ。最大15秒で全端末に反映されます</t>
        </is>
      </c>
    </row>
    <row r="29">
      <c r="B29" s="7" t="inlineStr">
        <is>
          <t>・売り切れの味は「販売状態」を停止中にするとレジからボタンが消えます</t>
        </is>
      </c>
    </row>
    <row r="30">
      <c r="B30" s="7" t="inlineStr">
        <is>
          <t>・打ち間違いはアプリの「会計履歴・取消」から取り消します</t>
        </is>
      </c>
    </row>
    <row r="31">
      <c r="B31" s="7" t="inlineStr">
        <is>
          <t>・閉店時はアプリの「レジ締め」で実際の現金と照合します</t>
        </is>
      </c>
    </row>
    <row r="33">
      <c r="A33" s="4" t="inlineStr">
        <is>
          <t>注意</t>
        </is>
      </c>
      <c r="B33" s="5" t="n"/>
      <c r="C33" s="5" t="n"/>
      <c r="D33" s="5" t="n"/>
      <c r="E33" s="5" t="n"/>
      <c r="F33" s="5" t="n"/>
      <c r="G33" s="5" t="n"/>
      <c r="H33" s="5" t="n"/>
    </row>
    <row r="34">
      <c r="B34" s="7" t="inlineStr">
        <is>
          <t>・「売上」シートは 1行 = 1明細です。行の編集・削除はしないでください（端末側と食い違います）</t>
        </is>
      </c>
    </row>
    <row r="35">
      <c r="B35" s="7" t="inlineStr">
        <is>
          <t>・WebアプリURLを SNS などに貼らないでください</t>
        </is>
      </c>
    </row>
    <row r="36">
      <c r="B36" s="7" t="inlineStr">
        <is>
          <t>・過去の売上金額は会計時の単価で固定されます。あとから価格を変えても動きません</t>
        </is>
      </c>
    </row>
    <row r="38">
      <c r="A38" s="4" t="inlineStr">
        <is>
          <t>ソースコードと詳しい説明</t>
        </is>
      </c>
      <c r="B38" s="5" t="n"/>
      <c r="C38" s="5" t="n"/>
      <c r="D38" s="5" t="n"/>
      <c r="E38" s="5" t="n"/>
      <c r="F38" s="5" t="n"/>
      <c r="G38" s="5" t="n"/>
      <c r="H38" s="5" t="n"/>
    </row>
    <row r="39">
      <c r="B39" s="7" t="inlineStr">
        <is>
          <t>・https://github.com/ORCA-IRUKA-222/skiheil-task  の apps/festival-pos/（ブランチ: feature/festival-pos）</t>
        </is>
      </c>
    </row>
  </sheetData>
  <mergeCells count="34">
    <mergeCell ref="B9:H9"/>
    <mergeCell ref="B6:H6"/>
    <mergeCell ref="B30:H30"/>
    <mergeCell ref="B15:H15"/>
    <mergeCell ref="A1:H1"/>
    <mergeCell ref="B5:H5"/>
    <mergeCell ref="B20:H20"/>
    <mergeCell ref="B36:H36"/>
    <mergeCell ref="B26:H26"/>
    <mergeCell ref="A25:H25"/>
    <mergeCell ref="B35:H35"/>
    <mergeCell ref="B16:H16"/>
    <mergeCell ref="B7:H7"/>
    <mergeCell ref="B31:H31"/>
    <mergeCell ref="A18:H18"/>
    <mergeCell ref="B22:H22"/>
    <mergeCell ref="B27:H27"/>
    <mergeCell ref="B21:H21"/>
    <mergeCell ref="A2:H2"/>
    <mergeCell ref="B12:H12"/>
    <mergeCell ref="B39:H39"/>
    <mergeCell ref="A33:H33"/>
    <mergeCell ref="B11:H11"/>
    <mergeCell ref="B23:H23"/>
    <mergeCell ref="A4:H4"/>
    <mergeCell ref="B8:H8"/>
    <mergeCell ref="B14:H14"/>
    <mergeCell ref="B13:H13"/>
    <mergeCell ref="A38:H38"/>
    <mergeCell ref="B29:H29"/>
    <mergeCell ref="B10:H10"/>
    <mergeCell ref="B19:H19"/>
    <mergeCell ref="B34:H34"/>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6" customHeight="1">
      <c r="A1" s="1" t="inlineStr">
        <is>
          <t>ダッシュボード</t>
        </is>
      </c>
      <c r="B1" s="2" t="n"/>
      <c r="C1" s="2" t="n"/>
      <c r="D1" s="2" t="n"/>
      <c r="E1" s="2" t="n"/>
      <c r="F1" s="2" t="n"/>
      <c r="G1" s="2" t="n"/>
      <c r="H1" s="2" t="n"/>
    </row>
    <row r="2" ht="34" customHeight="1">
      <c r="A2" s="3" t="inlineStr">
        <is>
          <t>「売上」シートから自動集計されます。取消は数量・金額がマイナスで入るため、そのまま合計すれば純売上になります。</t>
        </is>
      </c>
    </row>
    <row r="4">
      <c r="A4" s="9" t="inlineStr">
        <is>
          <t>売上金額</t>
        </is>
      </c>
      <c r="B4" s="10" t="n"/>
      <c r="C4" s="9" t="inlineStr">
        <is>
          <t>販売個数</t>
        </is>
      </c>
      <c r="D4" s="10" t="n"/>
      <c r="E4" s="9" t="inlineStr">
        <is>
          <t>会計件数</t>
        </is>
      </c>
      <c r="F4" s="10" t="n"/>
      <c r="G4" s="9" t="inlineStr">
        <is>
          <t>取消件数</t>
        </is>
      </c>
      <c r="H4" s="10" t="n"/>
    </row>
    <row r="5" ht="22" customHeight="1">
      <c r="A5" s="11">
        <f>SUM('売上'!$N$5:$N$5000)</f>
        <v/>
      </c>
      <c r="C5" s="12">
        <f>SUM('売上'!$L$5:$L$5000)</f>
        <v/>
      </c>
      <c r="E5" s="13">
        <f>COUNTIFS('売上'!$C$5:$C$5000,1,'売上'!$G$5:$G$5000,"売上")</f>
        <v/>
      </c>
      <c r="G5" s="13">
        <f>COUNTIFS('売上'!$C$5:$C$5000,1,'売上'!$G$5:$G$5000,"取消")</f>
        <v/>
      </c>
    </row>
    <row r="6" ht="22" customHeight="1"/>
    <row r="8">
      <c r="A8" s="4" t="inlineStr">
        <is>
          <t>区分別</t>
        </is>
      </c>
      <c r="B8" s="5" t="n"/>
      <c r="C8" s="5" t="n"/>
      <c r="D8" s="5" t="n"/>
      <c r="E8" s="5" t="n"/>
      <c r="F8" s="5" t="n"/>
      <c r="G8" s="5" t="n"/>
      <c r="H8" s="5" t="n"/>
    </row>
    <row r="9">
      <c r="A9" s="14" t="inlineStr">
        <is>
          <t>区分</t>
        </is>
      </c>
      <c r="B9" s="14" t="inlineStr">
        <is>
          <t>数量</t>
        </is>
      </c>
      <c r="C9" s="14" t="inlineStr">
        <is>
          <t>売上金額</t>
        </is>
      </c>
    </row>
    <row r="10">
      <c r="A10" t="inlineStr">
        <is>
          <t>3個セット</t>
        </is>
      </c>
      <c r="B10" s="15">
        <f>SUMIFS('売上'!$K$5:$K$5000,'売上'!$J$5:$J$5000,"3個セット")</f>
        <v/>
      </c>
      <c r="C10" s="16">
        <f>SUMIFS('売上'!$N$5:$N$5000,'売上'!$J$5:$J$5000,"3個セット")</f>
        <v/>
      </c>
    </row>
    <row r="11">
      <c r="A11" t="inlineStr">
        <is>
          <t>7個セット</t>
        </is>
      </c>
      <c r="B11" s="15">
        <f>SUMIFS('売上'!$K$5:$K$5000,'売上'!$J$5:$J$5000,"7個セット")</f>
        <v/>
      </c>
      <c r="C11" s="16">
        <f>SUMIFS('売上'!$N$5:$N$5000,'売上'!$J$5:$J$5000,"7個セット")</f>
        <v/>
      </c>
    </row>
    <row r="12">
      <c r="A12" t="inlineStr">
        <is>
          <t>バラ</t>
        </is>
      </c>
      <c r="B12" s="15">
        <f>SUMIFS('売上'!$K$5:$K$5000,'売上'!$J$5:$J$5000,"バラ")</f>
        <v/>
      </c>
      <c r="C12" s="16">
        <f>SUMIFS('売上'!$N$5:$N$5000,'売上'!$J$5:$J$5000,"バラ")</f>
        <v/>
      </c>
    </row>
    <row r="14">
      <c r="A14" s="4" t="inlineStr">
        <is>
          <t>商品別・担当者別・時間帯別</t>
        </is>
      </c>
      <c r="B14" s="5" t="n"/>
      <c r="C14" s="5" t="n"/>
      <c r="D14" s="5" t="n"/>
      <c r="E14" s="5" t="n"/>
      <c r="F14" s="5" t="n"/>
      <c r="G14" s="5" t="n"/>
      <c r="H14" s="5" t="n"/>
    </row>
    <row r="15">
      <c r="A15" s="17" t="inlineStr">
        <is>
          <t>メニュー「レジ管理 → シートを初期化 / 修復」を実行すると、ここに商品別（味ごと）・担当者別・時間帯別の集計が追加されます。Google スプレッドシート専用の QUERY 関数を使うため、このテンプレートには含めていません。</t>
        </is>
      </c>
    </row>
    <row r="16"/>
  </sheetData>
  <mergeCells count="13">
    <mergeCell ref="A4:B4"/>
    <mergeCell ref="G4:H4"/>
    <mergeCell ref="E4:F4"/>
    <mergeCell ref="A15:H16"/>
    <mergeCell ref="A2:H2"/>
    <mergeCell ref="C5:D6"/>
    <mergeCell ref="A5:B6"/>
    <mergeCell ref="G5:H6"/>
    <mergeCell ref="E5:F6"/>
    <mergeCell ref="A14:H14"/>
    <mergeCell ref="A1:H1"/>
    <mergeCell ref="A8:H8"/>
    <mergeCell ref="C4:D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18" customWidth="1" min="1" max="1"/>
    <col width="13" customWidth="1" min="2" max="2"/>
    <col width="13" customWidth="1" min="3" max="3"/>
    <col width="13" customWidth="1" min="4" max="4"/>
    <col width="12" customWidth="1" min="5" max="5"/>
    <col width="32" customWidth="1" min="6" max="6"/>
  </cols>
  <sheetData>
    <row r="1" ht="26" customHeight="1">
      <c r="A1" s="1" t="inlineStr">
        <is>
          <t>商品</t>
        </is>
      </c>
      <c r="B1" s="2" t="n"/>
      <c r="C1" s="2" t="n"/>
      <c r="D1" s="2" t="n"/>
      <c r="E1" s="2" t="n"/>
      <c r="F1" s="2" t="n"/>
    </row>
    <row r="2" ht="34" customHeight="1">
      <c r="A2" s="3" t="inlineStr">
        <is>
          <t>味ごとに1行つくります。ここを直すと各端末のボタンと価格が自動で入れ替わります（最大15秒）。過去の売上金額は会計時の単価で固定されているので変わりません。「販売状態」を停止中にすると、その味のボタンがレジから消えます。</t>
        </is>
      </c>
    </row>
    <row r="3" ht="26" customHeight="1">
      <c r="A3" s="17" t="inlineStr">
        <is>
          <t>※「セット以外は常にバラ単価」で計算します。3個・7個ちょうどのときだけセット価格、それ以外は 個数 × バラ単価 です。セットとバラは組み合わせられます。</t>
        </is>
      </c>
    </row>
    <row r="4">
      <c r="A4" s="18" t="inlineStr">
        <is>
          <t>商品名</t>
        </is>
      </c>
      <c r="B4" s="18" t="inlineStr">
        <is>
          <t>3個セット</t>
        </is>
      </c>
      <c r="C4" s="18" t="inlineStr">
        <is>
          <t>7個セット</t>
        </is>
      </c>
      <c r="D4" s="18" t="inlineStr">
        <is>
          <t>バラ1個</t>
        </is>
      </c>
      <c r="E4" s="18" t="inlineStr">
        <is>
          <t>販売状態</t>
        </is>
      </c>
      <c r="F4" s="18" t="inlineStr">
        <is>
          <t>備考</t>
        </is>
      </c>
    </row>
    <row r="5">
      <c r="A5" s="19" t="inlineStr">
        <is>
          <t>プレーン</t>
        </is>
      </c>
      <c r="B5" s="20" t="n">
        <v>300</v>
      </c>
      <c r="C5" s="20" t="n">
        <v>600</v>
      </c>
      <c r="D5" s="20" t="n">
        <v>120</v>
      </c>
      <c r="E5" s="19" t="inlineStr">
        <is>
          <t>販売中</t>
        </is>
      </c>
      <c r="F5" t="inlineStr"/>
    </row>
    <row r="6">
      <c r="A6" s="19" t="inlineStr">
        <is>
          <t>チョコ</t>
        </is>
      </c>
      <c r="B6" s="20" t="n">
        <v>350</v>
      </c>
      <c r="C6" s="20" t="n">
        <v>700</v>
      </c>
      <c r="D6" s="20" t="n">
        <v>140</v>
      </c>
      <c r="E6" s="19" t="inlineStr">
        <is>
          <t>販売中</t>
        </is>
      </c>
      <c r="F6" t="inlineStr"/>
    </row>
    <row r="7">
      <c r="A7" s="19" t="n"/>
      <c r="B7" s="20" t="n"/>
      <c r="C7" s="20" t="n"/>
      <c r="D7" s="20" t="n"/>
      <c r="E7" s="19" t="n"/>
    </row>
    <row r="8">
      <c r="A8" s="19" t="n"/>
      <c r="B8" s="20" t="n"/>
      <c r="C8" s="20" t="n"/>
      <c r="D8" s="20" t="n"/>
      <c r="E8" s="19" t="n"/>
    </row>
    <row r="9">
      <c r="A9" s="19" t="n"/>
      <c r="B9" s="20" t="n"/>
      <c r="C9" s="20" t="n"/>
      <c r="D9" s="20" t="n"/>
      <c r="E9" s="19" t="n"/>
    </row>
    <row r="10">
      <c r="A10" s="19" t="n"/>
      <c r="B10" s="20" t="n"/>
      <c r="C10" s="20" t="n"/>
      <c r="D10" s="20" t="n"/>
      <c r="E10" s="19" t="n"/>
    </row>
    <row r="11">
      <c r="A11" s="19" t="n"/>
      <c r="B11" s="20" t="n"/>
      <c r="C11" s="20" t="n"/>
      <c r="D11" s="20" t="n"/>
      <c r="E11" s="19" t="n"/>
    </row>
    <row r="12">
      <c r="A12" s="19" t="n"/>
      <c r="B12" s="20" t="n"/>
      <c r="C12" s="20" t="n"/>
      <c r="D12" s="20" t="n"/>
      <c r="E12" s="19" t="n"/>
    </row>
    <row r="13">
      <c r="A13" s="19" t="n"/>
      <c r="B13" s="20" t="n"/>
      <c r="C13" s="20" t="n"/>
      <c r="D13" s="20" t="n"/>
      <c r="E13" s="19" t="n"/>
    </row>
    <row r="14">
      <c r="A14" s="19" t="n"/>
      <c r="B14" s="20" t="n"/>
      <c r="C14" s="20" t="n"/>
      <c r="D14" s="20" t="n"/>
      <c r="E14" s="19" t="n"/>
    </row>
    <row r="15">
      <c r="A15" s="19" t="n"/>
      <c r="B15" s="20" t="n"/>
      <c r="C15" s="20" t="n"/>
      <c r="D15" s="20" t="n"/>
      <c r="E15" s="19" t="n"/>
    </row>
    <row r="16">
      <c r="A16" s="19" t="n"/>
      <c r="B16" s="20" t="n"/>
      <c r="C16" s="20" t="n"/>
      <c r="D16" s="20" t="n"/>
      <c r="E16" s="19" t="n"/>
    </row>
    <row r="17">
      <c r="A17" s="19" t="n"/>
      <c r="B17" s="20" t="n"/>
      <c r="C17" s="20" t="n"/>
      <c r="D17" s="20" t="n"/>
      <c r="E17" s="19" t="n"/>
    </row>
    <row r="18">
      <c r="A18" s="19" t="n"/>
      <c r="B18" s="20" t="n"/>
      <c r="C18" s="20" t="n"/>
      <c r="D18" s="20" t="n"/>
      <c r="E18" s="19" t="n"/>
    </row>
    <row r="19">
      <c r="A19" s="19" t="n"/>
      <c r="B19" s="20" t="n"/>
      <c r="C19" s="20" t="n"/>
      <c r="D19" s="20" t="n"/>
      <c r="E19" s="19" t="n"/>
    </row>
    <row r="20">
      <c r="A20" s="19" t="n"/>
      <c r="B20" s="20" t="n"/>
      <c r="C20" s="20" t="n"/>
      <c r="D20" s="20" t="n"/>
      <c r="E20" s="19" t="n"/>
    </row>
    <row r="21">
      <c r="A21" s="19" t="n"/>
      <c r="B21" s="20" t="n"/>
      <c r="C21" s="20" t="n"/>
      <c r="D21" s="20" t="n"/>
      <c r="E21" s="19" t="n"/>
    </row>
    <row r="22">
      <c r="A22" s="19" t="n"/>
      <c r="B22" s="20" t="n"/>
      <c r="C22" s="20" t="n"/>
      <c r="D22" s="20" t="n"/>
      <c r="E22" s="19" t="n"/>
    </row>
    <row r="23">
      <c r="A23" s="19" t="n"/>
      <c r="B23" s="20" t="n"/>
      <c r="C23" s="20" t="n"/>
      <c r="D23" s="20" t="n"/>
      <c r="E23" s="19" t="n"/>
    </row>
    <row r="24">
      <c r="A24" s="19" t="n"/>
      <c r="B24" s="20" t="n"/>
      <c r="C24" s="20" t="n"/>
      <c r="D24" s="20" t="n"/>
      <c r="E24" s="19" t="n"/>
    </row>
  </sheetData>
  <mergeCells count="3">
    <mergeCell ref="A3:F3"/>
    <mergeCell ref="A2:F2"/>
    <mergeCell ref="A1:F1"/>
  </mergeCells>
  <dataValidations count="1">
    <dataValidation sqref="E5:E24" showDropDown="0" showInputMessage="0" showErrorMessage="0" allowBlank="1" errorTitle="販売状態" error="「販売中」か「停止中」を選んでください。" type="list">
      <formula1>"販売中,停止中"</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20" customWidth="1" min="1" max="1"/>
    <col width="18" customWidth="1" min="2" max="2"/>
    <col width="22" customWidth="1" min="3" max="3"/>
    <col width="46" customWidth="1" min="4" max="4"/>
  </cols>
  <sheetData>
    <row r="1" ht="26" customHeight="1">
      <c r="A1" s="1" t="inlineStr">
        <is>
          <t>設定</t>
        </is>
      </c>
      <c r="B1" s="2" t="n"/>
      <c r="C1" s="2" t="n"/>
      <c r="D1" s="2" t="n"/>
    </row>
    <row r="2" ht="34" customHeight="1">
      <c r="A2" s="3" t="inlineStr">
        <is>
          <t>黄色セルだけを変更します。価格は「商品」シートで管理します。</t>
        </is>
      </c>
    </row>
    <row r="4">
      <c r="A4" s="18" t="inlineStr">
        <is>
          <t>キー（変更しない）</t>
        </is>
      </c>
      <c r="B4" s="18" t="inlineStr">
        <is>
          <t>設定項目</t>
        </is>
      </c>
      <c r="C4" s="18" t="inlineStr">
        <is>
          <t>値</t>
        </is>
      </c>
      <c r="D4" s="18" t="inlineStr">
        <is>
          <t>説明</t>
        </is>
      </c>
    </row>
    <row r="5">
      <c r="A5" t="inlineStr">
        <is>
          <t>SHOP_NAME</t>
        </is>
      </c>
      <c r="B5" t="inlineStr">
        <is>
          <t>店名</t>
        </is>
      </c>
      <c r="C5" s="19" t="inlineStr">
        <is>
          <t>ベビーカステラ</t>
        </is>
      </c>
      <c r="D5" t="inlineStr">
        <is>
          <t>アプリ上部に表示</t>
        </is>
      </c>
    </row>
    <row r="6">
      <c r="A6" t="inlineStr">
        <is>
          <t>PASSCODE</t>
        </is>
      </c>
      <c r="B6" t="inlineStr">
        <is>
          <t>パスコード</t>
        </is>
      </c>
      <c r="C6" s="21" t="inlineStr">
        <is>
          <t>0000</t>
        </is>
      </c>
      <c r="D6" s="22" t="inlineStr">
        <is>
          <t>⚠ 必ず変更してください。テンプレート共通の初期値です</t>
        </is>
      </c>
    </row>
    <row r="7">
      <c r="A7" t="inlineStr">
        <is>
          <t>CATALOG_VERSION</t>
        </is>
      </c>
      <c r="B7" t="inlineStr">
        <is>
          <t>カタログバージョン</t>
        </is>
      </c>
      <c r="C7" s="23" t="n">
        <v>1</v>
      </c>
      <c r="D7" t="inlineStr">
        <is>
          <t>自動更新。手で編集しない</t>
        </is>
      </c>
    </row>
    <row r="8">
      <c r="A8" t="inlineStr">
        <is>
          <t>CATALOG_UPDATED</t>
        </is>
      </c>
      <c r="B8" t="inlineStr">
        <is>
          <t>最終更新日時</t>
        </is>
      </c>
      <c r="C8" s="23" t="inlineStr"/>
      <c r="D8" t="inlineStr">
        <is>
          <t>自動更新。手で編集しない</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
  <sheetViews>
    <sheetView workbookViewId="0">
      <pane ySplit="4" topLeftCell="A5" activePane="bottomLeft" state="frozen"/>
      <selection pane="bottomLeft" activeCell="A1" sqref="A1"/>
    </sheetView>
  </sheetViews>
  <sheetFormatPr baseColWidth="8" defaultRowHeight="15"/>
  <cols>
    <col width="19" customWidth="1" min="1" max="1"/>
    <col width="30" customWidth="1" min="2" max="2"/>
    <col width="9" customWidth="1" min="3" max="3"/>
    <col width="12" customWidth="1" min="4" max="4"/>
    <col width="12" customWidth="1" min="5" max="5"/>
    <col width="19" customWidth="1" min="6" max="6"/>
    <col width="8" customWidth="1" min="7" max="7"/>
    <col width="30" customWidth="1" min="8" max="8"/>
    <col width="16" customWidth="1" min="9" max="9"/>
    <col width="12" customWidth="1" min="10" max="10"/>
    <col width="8" customWidth="1" min="11" max="11"/>
    <col width="8" customWidth="1" min="12" max="12"/>
    <col width="10" customWidth="1" min="13" max="13"/>
    <col width="11" customWidth="1" min="14" max="14"/>
    <col width="11" customWidth="1" min="15" max="15"/>
    <col width="11" customWidth="1" min="16" max="16"/>
    <col width="11" customWidth="1" min="17" max="17"/>
    <col width="11" customWidth="1" min="18" max="18"/>
    <col width="22" customWidth="1" min="19" max="19"/>
    <col width="20" customWidth="1" min="20" max="20"/>
  </cols>
  <sheetData>
    <row r="1" ht="26" customHeight="1">
      <c r="A1" s="1" t="inlineStr">
        <is>
          <t>売上</t>
        </is>
      </c>
      <c r="B1" s="2" t="n"/>
      <c r="C1" s="2" t="n"/>
      <c r="D1" s="2" t="n"/>
      <c r="E1" s="2" t="n"/>
      <c r="F1" s="2" t="n"/>
      <c r="G1" s="2" t="n"/>
      <c r="H1" s="2" t="n"/>
      <c r="I1" s="2" t="n"/>
      <c r="J1" s="2" t="n"/>
      <c r="K1" s="2" t="n"/>
      <c r="L1" s="2" t="n"/>
      <c r="M1" s="2" t="n"/>
      <c r="N1" s="2" t="n"/>
      <c r="O1" s="2" t="n"/>
      <c r="P1" s="2" t="n"/>
      <c r="Q1" s="2" t="n"/>
      <c r="R1" s="2" t="n"/>
      <c r="S1" s="2" t="n"/>
      <c r="T1" s="2" t="n"/>
    </row>
    <row r="2" ht="34" customHeight="1">
      <c r="A2" s="3" t="inlineStr">
        <is>
          <t>レジ端末から自動で追記されます。1行 = 1明細（商品×区分）で、同じ取引IDの行がひとつの会計です。取引合計・お預かり・お釣り・検証は、その取引の先頭明細行にだけ入ります。行の編集・削除はしないでください（端末側と食い違います）。</t>
        </is>
      </c>
    </row>
    <row r="4">
      <c r="A4" s="18" t="inlineStr">
        <is>
          <t>受信日時</t>
        </is>
      </c>
      <c r="B4" s="18" t="inlineStr">
        <is>
          <t>取引ID</t>
        </is>
      </c>
      <c r="C4" s="18" t="inlineStr">
        <is>
          <t>明細番号</t>
        </is>
      </c>
      <c r="D4" s="18" t="inlineStr">
        <is>
          <t>端末ID</t>
        </is>
      </c>
      <c r="E4" s="18" t="inlineStr">
        <is>
          <t>担当者</t>
        </is>
      </c>
      <c r="F4" s="18" t="inlineStr">
        <is>
          <t>会計日時</t>
        </is>
      </c>
      <c r="G4" s="18" t="inlineStr">
        <is>
          <t>種別</t>
        </is>
      </c>
      <c r="H4" s="18" t="inlineStr">
        <is>
          <t>取消元取引ID</t>
        </is>
      </c>
      <c r="I4" s="18" t="inlineStr">
        <is>
          <t>商品名</t>
        </is>
      </c>
      <c r="J4" s="18" t="inlineStr">
        <is>
          <t>区分</t>
        </is>
      </c>
      <c r="K4" s="18" t="inlineStr">
        <is>
          <t>数量</t>
        </is>
      </c>
      <c r="L4" s="18" t="inlineStr">
        <is>
          <t>個数</t>
        </is>
      </c>
      <c r="M4" s="18" t="inlineStr">
        <is>
          <t>単価</t>
        </is>
      </c>
      <c r="N4" s="18" t="inlineStr">
        <is>
          <t>金額</t>
        </is>
      </c>
      <c r="O4" s="18" t="inlineStr">
        <is>
          <t>カタログVer</t>
        </is>
      </c>
      <c r="P4" s="18" t="inlineStr">
        <is>
          <t>取引合計</t>
        </is>
      </c>
      <c r="Q4" s="18" t="inlineStr">
        <is>
          <t>お預かり</t>
        </is>
      </c>
      <c r="R4" s="18" t="inlineStr">
        <is>
          <t>お釣り</t>
        </is>
      </c>
      <c r="S4" s="18" t="inlineStr">
        <is>
          <t>検証</t>
        </is>
      </c>
      <c r="T4" s="18" t="inlineStr">
        <is>
          <t>備考</t>
        </is>
      </c>
    </row>
    <row r="5"/>
  </sheetData>
  <mergeCells count="2">
    <mergeCell ref="A1:T1"/>
    <mergeCell ref="A2:T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19" customWidth="1" min="1" max="1"/>
    <col width="12" customWidth="1" min="2" max="2"/>
    <col width="12" customWidth="1" min="3" max="3"/>
    <col width="19" customWidth="1" min="4" max="4"/>
    <col width="13" customWidth="1" min="5" max="5"/>
    <col width="15" customWidth="1" min="6" max="6"/>
    <col width="12" customWidth="1" min="7" max="7"/>
    <col width="12" customWidth="1" min="8" max="8"/>
    <col width="11" customWidth="1" min="9" max="9"/>
    <col width="10" customWidth="1" min="10" max="10"/>
    <col width="24" customWidth="1" min="11" max="11"/>
  </cols>
  <sheetData>
    <row r="1" ht="26" customHeight="1">
      <c r="A1" s="1" t="inlineStr">
        <is>
          <t>レジ締め</t>
        </is>
      </c>
      <c r="B1" s="2" t="n"/>
      <c r="C1" s="2" t="n"/>
      <c r="D1" s="2" t="n"/>
      <c r="E1" s="2" t="n"/>
      <c r="F1" s="2" t="n"/>
      <c r="G1" s="2" t="n"/>
      <c r="H1" s="2" t="n"/>
      <c r="I1" s="2" t="n"/>
      <c r="J1" s="2" t="n"/>
      <c r="K1" s="2" t="n"/>
    </row>
    <row r="2" ht="34" customHeight="1">
      <c r="A2" s="3" t="inlineStr">
        <is>
          <t>アプリの「レジ締め」から記録されます。理論現金 = 釣銭準備金 + そのシフトの現金売上。差額がマイナスなら現金が足りません。</t>
        </is>
      </c>
    </row>
    <row r="4">
      <c r="A4" s="18" t="inlineStr">
        <is>
          <t>記録日時</t>
        </is>
      </c>
      <c r="B4" s="18" t="inlineStr">
        <is>
          <t>担当者</t>
        </is>
      </c>
      <c r="C4" s="18" t="inlineStr">
        <is>
          <t>端末ID</t>
        </is>
      </c>
      <c r="D4" s="18" t="inlineStr">
        <is>
          <t>開始時刻</t>
        </is>
      </c>
      <c r="E4" s="18" t="inlineStr">
        <is>
          <t>釣銭準備金</t>
        </is>
      </c>
      <c r="F4" s="18" t="inlineStr">
        <is>
          <t>現金売上(理論)</t>
        </is>
      </c>
      <c r="G4" s="18" t="inlineStr">
        <is>
          <t>理論現金</t>
        </is>
      </c>
      <c r="H4" s="18" t="inlineStr">
        <is>
          <t>実査現金</t>
        </is>
      </c>
      <c r="I4" s="18" t="inlineStr">
        <is>
          <t>差額</t>
        </is>
      </c>
      <c r="J4" s="18" t="inlineStr">
        <is>
          <t>取引件数</t>
        </is>
      </c>
      <c r="K4" s="18" t="inlineStr">
        <is>
          <t>備考</t>
        </is>
      </c>
    </row>
    <row r="5"/>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2026-09-23T01:52:21Z</dcterms:created>
  <dcterms:modified xsi:type="dcterms:W3CDTF">2026-09-23T01:52:21Z</dcterms:modified>
</cp:coreProperties>
</file>